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sheet.macroEnabled.main+xml" PartName="/xl/workbook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 Collector" sheetId="1" r:id="rId4"/>
  </sheets>
  <definedNames/>
  <calcPr/>
</workbook>
</file>

<file path=xl/sharedStrings.xml><?xml version="1.0" encoding="utf-8"?>
<sst xmlns="http://schemas.openxmlformats.org/spreadsheetml/2006/main" count="127" uniqueCount="46">
  <si>
    <t>09-אפריל  -2026                              Collection Per Collector                         1/1</t>
  </si>
  <si>
    <t>Status:OP</t>
  </si>
  <si>
    <t>Collector:דרור גיאר</t>
  </si>
  <si>
    <t>Customer:&lt;הכל&gt;</t>
  </si>
  <si>
    <t>Cust Num</t>
  </si>
  <si>
    <t>Customer Name</t>
  </si>
  <si>
    <t>Doc Number</t>
  </si>
  <si>
    <t>Doc Date</t>
  </si>
  <si>
    <t>Due Date</t>
  </si>
  <si>
    <t>Terms</t>
  </si>
  <si>
    <t>Original Amt</t>
  </si>
  <si>
    <t>Amt Remaining</t>
  </si>
  <si>
    <t>Days Late</t>
  </si>
  <si>
    <t>35008</t>
  </si>
  <si>
    <t>מ.ש הכהנים חומרי בנין בע"מ</t>
  </si>
  <si>
    <t>256010068</t>
  </si>
  <si>
    <t>שוטף + 90</t>
  </si>
  <si>
    <t>256018595</t>
  </si>
  <si>
    <t>256031133</t>
  </si>
  <si>
    <t>256056058</t>
  </si>
  <si>
    <t>256056059</t>
  </si>
  <si>
    <t>256056089</t>
  </si>
  <si>
    <t>256056090</t>
  </si>
  <si>
    <t>256056091</t>
  </si>
  <si>
    <t>256056328</t>
  </si>
  <si>
    <t>256056923</t>
  </si>
  <si>
    <t>256057044</t>
  </si>
  <si>
    <t>256060421</t>
  </si>
  <si>
    <t>256060560</t>
  </si>
  <si>
    <t>256060562</t>
  </si>
  <si>
    <t>256060563</t>
  </si>
  <si>
    <t>266000277</t>
  </si>
  <si>
    <t>266002065</t>
  </si>
  <si>
    <t>266002327</t>
  </si>
  <si>
    <t>266002816</t>
  </si>
  <si>
    <t>266003086</t>
  </si>
  <si>
    <t>שוטף + 120</t>
  </si>
  <si>
    <t>266003539</t>
  </si>
  <si>
    <t>266003553</t>
  </si>
  <si>
    <t>266004288</t>
  </si>
  <si>
    <t>266004730</t>
  </si>
  <si>
    <t>266005269</t>
  </si>
  <si>
    <t>266005270</t>
  </si>
  <si>
    <t>266005538</t>
  </si>
  <si>
    <t>266006716</t>
  </si>
  <si>
    <t>Total: 136,507.08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</si>
</sst>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##,###,###,##0.00"/>
    <numFmt numFmtId="166" formatCode="##########0"/>
  </numFmts>
  <fonts count="4">
    <font>
      <sz val="10.0"/>
      <color rgb="FF000000"/>
      <name val="Arial"/>
      <scheme val="minor"/>
    </font>
    <font/>
    <font>
      <sz val="8.0"/>
      <color rgb="FF000000"/>
      <name val="Tahoma"/>
    </font>
    <font>
      <b/>
      <sz val="8.0"/>
      <color rgb="FF000000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D4D0C8"/>
        <bgColor rgb="FFD4D0C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FE0DF"/>
        <bgColor rgb="FFDFE0D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CA899"/>
      </left>
      <right style="thin">
        <color rgb="FFACA899"/>
      </right>
      <top style="thin">
        <color rgb="FFACA899"/>
      </top>
      <bottom style="thin">
        <color rgb="FFACA89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vertical="top"/>
    </xf>
    <xf borderId="1" fillId="2" fontId="2" numFmtId="0" xfId="0" applyAlignment="1" applyBorder="1" applyFont="1">
      <alignment horizontal="right" vertical="top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left" readingOrder="0" vertical="top"/>
    </xf>
    <xf borderId="2" fillId="3" fontId="2" numFmtId="164" xfId="0" applyAlignment="1" applyBorder="1" applyFont="1" applyNumberFormat="1">
      <alignment horizontal="center" vertical="center"/>
    </xf>
    <xf borderId="2" fillId="3" fontId="2" numFmtId="0" xfId="0" applyAlignment="1" applyBorder="1" applyFont="1">
      <alignment horizontal="center" readingOrder="0" vertical="center"/>
    </xf>
    <xf borderId="2" fillId="3" fontId="2" numFmtId="165" xfId="0" applyAlignment="1" applyBorder="1" applyFont="1" applyNumberFormat="1">
      <alignment horizontal="right" vertical="top"/>
    </xf>
    <xf borderId="2" fillId="3" fontId="2" numFmtId="166" xfId="0" applyAlignment="1" applyBorder="1" applyFont="1" applyNumberFormat="1">
      <alignment horizontal="center" vertical="center"/>
    </xf>
    <xf borderId="2" fillId="3" fontId="2" numFmtId="0" xfId="0" applyAlignment="1" applyBorder="1" applyFont="1">
      <alignment horizontal="left" vertical="top"/>
    </xf>
    <xf borderId="2" fillId="4" fontId="3" numFmtId="165" xfId="0" applyAlignment="1" applyBorder="1" applyFill="1" applyFont="1" applyNumberFormat="1">
      <alignment horizontal="right" vertical="top"/>
    </xf>
    <xf borderId="2" fillId="5" fontId="2" numFmtId="165" xfId="0" applyAlignment="1" applyBorder="1" applyFill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2.29"/>
    <col customWidth="1" min="3" max="3" width="13.71"/>
    <col customWidth="1" min="4" max="4" width="7.29"/>
    <col customWidth="1" min="5" max="5" width="7.43"/>
    <col customWidth="1" min="6" max="6" width="9.43"/>
    <col customWidth="1" min="7" max="8" width="13.57"/>
    <col customWidth="1" min="9" max="9" width="7.86"/>
    <col customWidth="1" min="10" max="11" width="8.71"/>
  </cols>
  <sheetData>
    <row r="1" ht="12.75" customHeight="1">
      <c r="A1" s="1" t="s">
        <v>0</v>
      </c>
    </row>
    <row r="2" ht="12.75" customHeight="1"/>
    <row r="3" ht="12.75" customHeight="1">
      <c r="A3" s="2" t="s">
        <v>1</v>
      </c>
      <c r="B3" s="2" t="s">
        <v>2</v>
      </c>
      <c r="C3" s="3" t="s">
        <v>3</v>
      </c>
    </row>
    <row r="4" ht="12.75" customHeight="1"/>
    <row r="5" ht="12.75" customHeight="1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5" t="s">
        <v>12</v>
      </c>
    </row>
    <row r="6" ht="12.75" customHeight="1">
      <c r="A6" s="6" t="s">
        <v>13</v>
      </c>
      <c r="B6" s="7" t="s">
        <v>14</v>
      </c>
      <c r="C6" s="6" t="s">
        <v>15</v>
      </c>
      <c r="D6" s="8">
        <v>45701.0</v>
      </c>
      <c r="E6" s="8">
        <v>45808.0</v>
      </c>
      <c r="F6" s="9" t="s">
        <v>16</v>
      </c>
      <c r="G6" s="10">
        <v>365.8</v>
      </c>
      <c r="H6" s="10">
        <v>365.8</v>
      </c>
      <c r="I6" s="11">
        <v>313.0</v>
      </c>
    </row>
    <row r="7" ht="12.75" customHeight="1">
      <c r="A7" s="6" t="s">
        <v>13</v>
      </c>
      <c r="B7" s="7" t="s">
        <v>14</v>
      </c>
      <c r="C7" s="6" t="s">
        <v>17</v>
      </c>
      <c r="D7" s="8">
        <v>45741.0</v>
      </c>
      <c r="E7" s="8">
        <v>45838.0</v>
      </c>
      <c r="F7" s="9" t="s">
        <v>16</v>
      </c>
      <c r="G7" s="10">
        <v>502.39</v>
      </c>
      <c r="H7" s="10">
        <v>502.39</v>
      </c>
      <c r="I7" s="11">
        <v>283.0</v>
      </c>
    </row>
    <row r="8" ht="12.75" customHeight="1">
      <c r="A8" s="6" t="s">
        <v>13</v>
      </c>
      <c r="B8" s="7" t="s">
        <v>14</v>
      </c>
      <c r="C8" s="6" t="s">
        <v>18</v>
      </c>
      <c r="D8" s="8">
        <v>45797.0</v>
      </c>
      <c r="E8" s="8">
        <v>45900.0</v>
      </c>
      <c r="F8" s="9" t="s">
        <v>16</v>
      </c>
      <c r="G8" s="10">
        <v>481.36</v>
      </c>
      <c r="H8" s="10">
        <v>481.36</v>
      </c>
      <c r="I8" s="11">
        <v>221.0</v>
      </c>
    </row>
    <row r="9" ht="12.75" customHeight="1">
      <c r="A9" s="6" t="s">
        <v>13</v>
      </c>
      <c r="B9" s="7" t="s">
        <v>14</v>
      </c>
      <c r="C9" s="6" t="s">
        <v>19</v>
      </c>
      <c r="D9" s="8">
        <v>45979.0</v>
      </c>
      <c r="E9" s="8">
        <v>46081.0</v>
      </c>
      <c r="F9" s="9" t="s">
        <v>16</v>
      </c>
      <c r="G9" s="10">
        <v>16528.66</v>
      </c>
      <c r="H9" s="10">
        <v>16528.66</v>
      </c>
      <c r="I9" s="11">
        <v>40.0</v>
      </c>
    </row>
    <row r="10" ht="12.75" customHeight="1">
      <c r="A10" s="6" t="s">
        <v>13</v>
      </c>
      <c r="B10" s="7" t="s">
        <v>14</v>
      </c>
      <c r="C10" s="6" t="s">
        <v>20</v>
      </c>
      <c r="D10" s="8">
        <v>45979.0</v>
      </c>
      <c r="E10" s="8">
        <v>46081.0</v>
      </c>
      <c r="F10" s="9" t="s">
        <v>16</v>
      </c>
      <c r="G10" s="10">
        <v>369.40000000000003</v>
      </c>
      <c r="H10" s="10">
        <v>369.40000000000003</v>
      </c>
      <c r="I10" s="11">
        <v>40.0</v>
      </c>
    </row>
    <row r="11" ht="12.75" customHeight="1">
      <c r="A11" s="6" t="s">
        <v>13</v>
      </c>
      <c r="B11" s="7" t="s">
        <v>14</v>
      </c>
      <c r="C11" s="6" t="s">
        <v>21</v>
      </c>
      <c r="D11" s="8">
        <v>45979.0</v>
      </c>
      <c r="E11" s="8">
        <v>46081.0</v>
      </c>
      <c r="F11" s="9" t="s">
        <v>16</v>
      </c>
      <c r="G11" s="10">
        <v>176.53</v>
      </c>
      <c r="H11" s="10">
        <v>176.53</v>
      </c>
      <c r="I11" s="11">
        <v>40.0</v>
      </c>
    </row>
    <row r="12" ht="12.75" customHeight="1">
      <c r="A12" s="6" t="s">
        <v>13</v>
      </c>
      <c r="B12" s="7" t="s">
        <v>14</v>
      </c>
      <c r="C12" s="6" t="s">
        <v>22</v>
      </c>
      <c r="D12" s="8">
        <v>45979.0</v>
      </c>
      <c r="E12" s="8">
        <v>46081.0</v>
      </c>
      <c r="F12" s="9" t="s">
        <v>16</v>
      </c>
      <c r="G12" s="10">
        <v>11039.02</v>
      </c>
      <c r="H12" s="10">
        <v>11039.02</v>
      </c>
      <c r="I12" s="11">
        <v>40.0</v>
      </c>
    </row>
    <row r="13" ht="12.75" customHeight="1">
      <c r="A13" s="6" t="s">
        <v>13</v>
      </c>
      <c r="B13" s="7" t="s">
        <v>14</v>
      </c>
      <c r="C13" s="6" t="s">
        <v>23</v>
      </c>
      <c r="D13" s="8">
        <v>45979.0</v>
      </c>
      <c r="E13" s="8">
        <v>46081.0</v>
      </c>
      <c r="F13" s="9" t="s">
        <v>16</v>
      </c>
      <c r="G13" s="10">
        <v>496.28000000000003</v>
      </c>
      <c r="H13" s="10">
        <v>496.28000000000003</v>
      </c>
      <c r="I13" s="11">
        <v>40.0</v>
      </c>
    </row>
    <row r="14" ht="12.75" customHeight="1">
      <c r="A14" s="6" t="s">
        <v>13</v>
      </c>
      <c r="B14" s="7" t="s">
        <v>14</v>
      </c>
      <c r="C14" s="6" t="s">
        <v>24</v>
      </c>
      <c r="D14" s="8">
        <v>45980.0</v>
      </c>
      <c r="E14" s="8">
        <v>46081.0</v>
      </c>
      <c r="F14" s="9" t="s">
        <v>16</v>
      </c>
      <c r="G14" s="10">
        <v>556.3000000000001</v>
      </c>
      <c r="H14" s="10">
        <v>556.3000000000001</v>
      </c>
      <c r="I14" s="11">
        <v>40.0</v>
      </c>
    </row>
    <row r="15" ht="12.75" customHeight="1">
      <c r="A15" s="6" t="s">
        <v>13</v>
      </c>
      <c r="B15" s="7" t="s">
        <v>14</v>
      </c>
      <c r="C15" s="6" t="s">
        <v>25</v>
      </c>
      <c r="D15" s="8">
        <v>45986.0</v>
      </c>
      <c r="E15" s="8">
        <v>46081.0</v>
      </c>
      <c r="F15" s="9" t="s">
        <v>16</v>
      </c>
      <c r="G15" s="10">
        <v>24564.39</v>
      </c>
      <c r="H15" s="10">
        <v>24564.39</v>
      </c>
      <c r="I15" s="11">
        <v>40.0</v>
      </c>
    </row>
    <row r="16" ht="12.75" customHeight="1">
      <c r="A16" s="6" t="s">
        <v>13</v>
      </c>
      <c r="B16" s="7" t="s">
        <v>14</v>
      </c>
      <c r="C16" s="6" t="s">
        <v>26</v>
      </c>
      <c r="D16" s="8">
        <v>45987.0</v>
      </c>
      <c r="E16" s="8">
        <v>46081.0</v>
      </c>
      <c r="F16" s="9" t="s">
        <v>16</v>
      </c>
      <c r="G16" s="10">
        <v>4853.3</v>
      </c>
      <c r="H16" s="10">
        <v>4853.3</v>
      </c>
      <c r="I16" s="11">
        <v>40.0</v>
      </c>
    </row>
    <row r="17" ht="12.75" customHeight="1">
      <c r="A17" s="6"/>
      <c r="B17" s="12"/>
      <c r="C17" s="6"/>
      <c r="D17" s="8"/>
      <c r="E17" s="8"/>
      <c r="F17" s="6"/>
      <c r="G17" s="6"/>
      <c r="H17" s="13" t="str">
        <f>SUM(H6:H16)</f>
        <v>59,933.43</v>
      </c>
      <c r="I17" s="11"/>
    </row>
    <row r="18" ht="12.75" customHeight="1">
      <c r="A18" s="6" t="s">
        <v>13</v>
      </c>
      <c r="B18" s="7" t="s">
        <v>14</v>
      </c>
      <c r="C18" s="6" t="s">
        <v>27</v>
      </c>
      <c r="D18" s="8">
        <v>46020.0</v>
      </c>
      <c r="E18" s="8">
        <v>46112.0</v>
      </c>
      <c r="F18" s="9" t="s">
        <v>16</v>
      </c>
      <c r="G18" s="10">
        <v>5180.51</v>
      </c>
      <c r="H18" s="10">
        <v>5180.51</v>
      </c>
      <c r="I18" s="11">
        <v>9.0</v>
      </c>
    </row>
    <row r="19" ht="12.75" customHeight="1">
      <c r="A19" s="6" t="s">
        <v>13</v>
      </c>
      <c r="B19" s="7" t="s">
        <v>14</v>
      </c>
      <c r="C19" s="6" t="s">
        <v>28</v>
      </c>
      <c r="D19" s="8">
        <v>46021.0</v>
      </c>
      <c r="E19" s="8">
        <v>46112.0</v>
      </c>
      <c r="F19" s="9" t="s">
        <v>16</v>
      </c>
      <c r="G19" s="10">
        <v>7380.57</v>
      </c>
      <c r="H19" s="10">
        <v>7380.57</v>
      </c>
      <c r="I19" s="11">
        <v>9.0</v>
      </c>
    </row>
    <row r="20" ht="12.75" customHeight="1">
      <c r="A20" s="6" t="s">
        <v>13</v>
      </c>
      <c r="B20" s="7" t="s">
        <v>14</v>
      </c>
      <c r="C20" s="6" t="s">
        <v>29</v>
      </c>
      <c r="D20" s="8">
        <v>46021.0</v>
      </c>
      <c r="E20" s="8">
        <v>46112.0</v>
      </c>
      <c r="F20" s="9" t="s">
        <v>16</v>
      </c>
      <c r="G20" s="10">
        <v>7058.24</v>
      </c>
      <c r="H20" s="10">
        <v>7058.24</v>
      </c>
      <c r="I20" s="11">
        <v>9.0</v>
      </c>
    </row>
    <row r="21" ht="12.75" customHeight="1">
      <c r="A21" s="6" t="s">
        <v>13</v>
      </c>
      <c r="B21" s="7" t="s">
        <v>14</v>
      </c>
      <c r="C21" s="6" t="s">
        <v>30</v>
      </c>
      <c r="D21" s="8">
        <v>46021.0</v>
      </c>
      <c r="E21" s="8">
        <v>46112.0</v>
      </c>
      <c r="F21" s="9" t="s">
        <v>16</v>
      </c>
      <c r="G21" s="10">
        <v>11508.61</v>
      </c>
      <c r="H21" s="10">
        <v>11508.61</v>
      </c>
      <c r="I21" s="11">
        <v>9.0</v>
      </c>
    </row>
    <row r="22" ht="12.75" customHeight="1">
      <c r="A22" s="6"/>
      <c r="B22" s="12"/>
      <c r="C22" s="6"/>
      <c r="D22" s="8"/>
      <c r="E22" s="8"/>
      <c r="F22" s="6"/>
      <c r="G22" s="6"/>
      <c r="H22" s="13" t="str">
        <f>SUM(H18:H21)</f>
        <v>31,127.93</v>
      </c>
      <c r="I22" s="11"/>
    </row>
    <row r="23" ht="12.75" customHeight="1">
      <c r="A23" s="6" t="s">
        <v>13</v>
      </c>
      <c r="B23" s="7" t="s">
        <v>14</v>
      </c>
      <c r="C23" s="6" t="s">
        <v>31</v>
      </c>
      <c r="D23" s="8">
        <v>46026.0</v>
      </c>
      <c r="E23" s="8">
        <v>46142.0</v>
      </c>
      <c r="F23" s="9" t="s">
        <v>16</v>
      </c>
      <c r="G23" s="10">
        <v>4216.81</v>
      </c>
      <c r="H23" s="10">
        <v>4216.81</v>
      </c>
      <c r="I23" s="11">
        <v>0.0</v>
      </c>
    </row>
    <row r="24" ht="12.75" customHeight="1">
      <c r="A24" s="6" t="s">
        <v>13</v>
      </c>
      <c r="B24" s="7" t="s">
        <v>14</v>
      </c>
      <c r="C24" s="6" t="s">
        <v>32</v>
      </c>
      <c r="D24" s="8">
        <v>46042.0</v>
      </c>
      <c r="E24" s="8">
        <v>46142.0</v>
      </c>
      <c r="F24" s="9" t="s">
        <v>16</v>
      </c>
      <c r="G24" s="10">
        <v>5529.68</v>
      </c>
      <c r="H24" s="10">
        <v>5529.68</v>
      </c>
      <c r="I24" s="11">
        <v>0.0</v>
      </c>
    </row>
    <row r="25" ht="12.75" customHeight="1">
      <c r="A25" s="6" t="s">
        <v>13</v>
      </c>
      <c r="B25" s="7" t="s">
        <v>14</v>
      </c>
      <c r="C25" s="6" t="s">
        <v>33</v>
      </c>
      <c r="D25" s="8">
        <v>46044.0</v>
      </c>
      <c r="E25" s="8">
        <v>46142.0</v>
      </c>
      <c r="F25" s="9" t="s">
        <v>16</v>
      </c>
      <c r="G25" s="10">
        <v>9787.76</v>
      </c>
      <c r="H25" s="10">
        <v>9787.76</v>
      </c>
      <c r="I25" s="11">
        <v>0.0</v>
      </c>
    </row>
    <row r="26" ht="12.75" customHeight="1">
      <c r="A26" s="6" t="s">
        <v>13</v>
      </c>
      <c r="B26" s="7" t="s">
        <v>14</v>
      </c>
      <c r="C26" s="6" t="s">
        <v>34</v>
      </c>
      <c r="D26" s="8">
        <v>46049.0</v>
      </c>
      <c r="E26" s="8">
        <v>46142.0</v>
      </c>
      <c r="F26" s="9" t="s">
        <v>16</v>
      </c>
      <c r="G26" s="10">
        <v>848.1700000000001</v>
      </c>
      <c r="H26" s="10">
        <v>848.1700000000001</v>
      </c>
      <c r="I26" s="11">
        <v>0.0</v>
      </c>
    </row>
    <row r="27" ht="12.75" customHeight="1">
      <c r="A27" s="6"/>
      <c r="B27" s="12"/>
      <c r="C27" s="6"/>
      <c r="D27" s="8"/>
      <c r="E27" s="8"/>
      <c r="F27" s="6"/>
      <c r="G27" s="6"/>
      <c r="H27" s="13" t="str">
        <f>SUM(H23:H26)</f>
        <v>20,382.42</v>
      </c>
      <c r="I27" s="11"/>
    </row>
    <row r="28" ht="12.75" customHeight="1">
      <c r="A28" s="6" t="s">
        <v>13</v>
      </c>
      <c r="B28" s="7" t="s">
        <v>14</v>
      </c>
      <c r="C28" s="6" t="s">
        <v>35</v>
      </c>
      <c r="D28" s="8">
        <v>46051.0</v>
      </c>
      <c r="E28" s="8">
        <v>46173.0</v>
      </c>
      <c r="F28" s="9" t="s">
        <v>36</v>
      </c>
      <c r="G28" s="10">
        <v>1098.72</v>
      </c>
      <c r="H28" s="10">
        <v>1098.72</v>
      </c>
      <c r="I28" s="11">
        <v>0.0</v>
      </c>
    </row>
    <row r="29" ht="12.75" customHeight="1">
      <c r="A29" s="6" t="s">
        <v>13</v>
      </c>
      <c r="B29" s="7" t="s">
        <v>14</v>
      </c>
      <c r="C29" s="6" t="s">
        <v>37</v>
      </c>
      <c r="D29" s="8">
        <v>46056.0</v>
      </c>
      <c r="E29" s="8">
        <v>46173.0</v>
      </c>
      <c r="F29" s="9" t="s">
        <v>16</v>
      </c>
      <c r="G29" s="10">
        <v>316.15000000000003</v>
      </c>
      <c r="H29" s="10">
        <v>316.15000000000003</v>
      </c>
      <c r="I29" s="11">
        <v>0.0</v>
      </c>
    </row>
    <row r="30" ht="12.75" customHeight="1">
      <c r="A30" s="6" t="s">
        <v>13</v>
      </c>
      <c r="B30" s="7" t="s">
        <v>14</v>
      </c>
      <c r="C30" s="6" t="s">
        <v>38</v>
      </c>
      <c r="D30" s="8">
        <v>46056.0</v>
      </c>
      <c r="E30" s="8">
        <v>46173.0</v>
      </c>
      <c r="F30" s="9" t="s">
        <v>16</v>
      </c>
      <c r="G30" s="10">
        <v>4157.47</v>
      </c>
      <c r="H30" s="10">
        <v>4157.47</v>
      </c>
      <c r="I30" s="11">
        <v>0.0</v>
      </c>
    </row>
    <row r="31" ht="12.75" customHeight="1">
      <c r="A31" s="6" t="s">
        <v>13</v>
      </c>
      <c r="B31" s="7" t="s">
        <v>14</v>
      </c>
      <c r="C31" s="6" t="s">
        <v>39</v>
      </c>
      <c r="D31" s="8">
        <v>46063.0</v>
      </c>
      <c r="E31" s="8">
        <v>46173.0</v>
      </c>
      <c r="F31" s="9" t="s">
        <v>16</v>
      </c>
      <c r="G31" s="10">
        <v>1785.4</v>
      </c>
      <c r="H31" s="10">
        <v>1785.4</v>
      </c>
      <c r="I31" s="11">
        <v>0.0</v>
      </c>
    </row>
    <row r="32" ht="12.75" customHeight="1">
      <c r="A32" s="6" t="s">
        <v>13</v>
      </c>
      <c r="B32" s="7" t="s">
        <v>14</v>
      </c>
      <c r="C32" s="6" t="s">
        <v>40</v>
      </c>
      <c r="D32" s="8">
        <v>46065.0</v>
      </c>
      <c r="E32" s="8">
        <v>46173.0</v>
      </c>
      <c r="F32" s="9" t="s">
        <v>16</v>
      </c>
      <c r="G32" s="10">
        <v>10464.85</v>
      </c>
      <c r="H32" s="10">
        <v>10464.85</v>
      </c>
      <c r="I32" s="11">
        <v>0.0</v>
      </c>
    </row>
    <row r="33" ht="12.75" customHeight="1">
      <c r="A33" s="6" t="s">
        <v>13</v>
      </c>
      <c r="B33" s="7" t="s">
        <v>14</v>
      </c>
      <c r="C33" s="6" t="s">
        <v>41</v>
      </c>
      <c r="D33" s="8">
        <v>46070.0</v>
      </c>
      <c r="E33" s="8">
        <v>46173.0</v>
      </c>
      <c r="F33" s="9" t="s">
        <v>16</v>
      </c>
      <c r="G33" s="10">
        <v>370.87</v>
      </c>
      <c r="H33" s="10">
        <v>370.87</v>
      </c>
      <c r="I33" s="11">
        <v>0.0</v>
      </c>
    </row>
    <row r="34" ht="12.75" customHeight="1">
      <c r="A34" s="6" t="s">
        <v>13</v>
      </c>
      <c r="B34" s="7" t="s">
        <v>14</v>
      </c>
      <c r="C34" s="6" t="s">
        <v>42</v>
      </c>
      <c r="D34" s="8">
        <v>46070.0</v>
      </c>
      <c r="E34" s="8">
        <v>46173.0</v>
      </c>
      <c r="F34" s="9" t="s">
        <v>16</v>
      </c>
      <c r="G34" s="10">
        <v>1108.23</v>
      </c>
      <c r="H34" s="10">
        <v>1108.23</v>
      </c>
      <c r="I34" s="11">
        <v>0.0</v>
      </c>
    </row>
    <row r="35" ht="12.75" customHeight="1">
      <c r="A35" s="6" t="s">
        <v>13</v>
      </c>
      <c r="B35" s="7" t="s">
        <v>14</v>
      </c>
      <c r="C35" s="6" t="s">
        <v>43</v>
      </c>
      <c r="D35" s="8">
        <v>46072.0</v>
      </c>
      <c r="E35" s="8">
        <v>46173.0</v>
      </c>
      <c r="F35" s="9" t="s">
        <v>16</v>
      </c>
      <c r="G35" s="10">
        <v>5162.17</v>
      </c>
      <c r="H35" s="10">
        <v>5162.17</v>
      </c>
      <c r="I35" s="11">
        <v>0.0</v>
      </c>
    </row>
    <row r="36" ht="12.75" customHeight="1">
      <c r="A36" s="6"/>
      <c r="B36" s="12"/>
      <c r="C36" s="6"/>
      <c r="D36" s="8"/>
      <c r="E36" s="8"/>
      <c r="F36" s="6"/>
      <c r="G36" s="6"/>
      <c r="H36" s="13" t="str">
        <f>SUM(H28:H35)</f>
        <v>24,463.86</v>
      </c>
      <c r="I36" s="11"/>
    </row>
    <row r="37" ht="12.75" customHeight="1">
      <c r="A37" s="6" t="s">
        <v>13</v>
      </c>
      <c r="B37" s="7" t="s">
        <v>14</v>
      </c>
      <c r="C37" s="6" t="s">
        <v>44</v>
      </c>
      <c r="D37" s="8">
        <v>46083.0</v>
      </c>
      <c r="E37" s="8">
        <v>46203.0</v>
      </c>
      <c r="F37" s="9" t="s">
        <v>16</v>
      </c>
      <c r="G37" s="10">
        <v>599.44</v>
      </c>
      <c r="H37" s="10">
        <v>599.44</v>
      </c>
      <c r="I37" s="11">
        <v>0.0</v>
      </c>
    </row>
    <row r="38" ht="12.75" customHeight="1">
      <c r="A38" s="6"/>
      <c r="B38" s="12"/>
      <c r="C38" s="6"/>
      <c r="D38" s="8"/>
      <c r="E38" s="8"/>
      <c r="F38" s="6"/>
      <c r="G38" s="6"/>
      <c r="H38" s="13" t="str">
        <f>SUM(H37)</f>
        <v>599.44</v>
      </c>
      <c r="I38" s="11"/>
    </row>
    <row r="39" ht="12.75" customHeight="1">
      <c r="A39" s="6">
        <v>0.0</v>
      </c>
      <c r="B39" s="12">
        <v>0.0</v>
      </c>
      <c r="C39" s="6">
        <v>0.0</v>
      </c>
      <c r="D39" s="8">
        <v>0.0</v>
      </c>
      <c r="E39" s="8">
        <v>0.0</v>
      </c>
      <c r="F39" s="6">
        <v>0.0</v>
      </c>
      <c r="G39" s="14" t="s">
        <v>45</v>
      </c>
      <c r="H39" s="14" t="s">
        <v>45</v>
      </c>
      <c r="I39" s="11">
        <v>0.0</v>
      </c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15</vt:i4>
      </vt:variant>
    </vt:vector>
  </HeadingPairs>
  <TitlesOfParts>
    <vt:vector baseType="lpstr" size="16">
      <vt:lpstr>Per Collector</vt:lpstr>
      <vt:lpstr>Macro1</vt:lpstr>
      <vt:lpstr>Macro10</vt:lpstr>
      <vt:lpstr>Macro11</vt:lpstr>
      <vt:lpstr>Macro12</vt:lpstr>
      <vt:lpstr>Macro13</vt:lpstr>
      <vt:lpstr>Macro14</vt:lpstr>
      <vt:lpstr>Macro2</vt:lpstr>
      <vt:lpstr>Macro3</vt:lpstr>
      <vt:lpstr>Macro4</vt:lpstr>
      <vt:lpstr>Macro5</vt:lpstr>
      <vt:lpstr>Macro6</vt:lpstr>
      <vt:lpstr>Macro7</vt:lpstr>
      <vt:lpstr>Macro8</vt:lpstr>
      <vt:lpstr>Macro9</vt:lpstr>
      <vt:lpstr>Recover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2026-04-09T07:59:19Z</dcterms:created>
  <dc:creator>Sharon Tzuberi</dc:creator>
  <cp:lastModifiedBy>X</cp:lastModifiedBy>
  <dcterms:modified xsi:type="dcterms:W3CDTF">2026-04-09T08:24:45Z</dcterms:modified>
</cp:coreProperties>
</file>